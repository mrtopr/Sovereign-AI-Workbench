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M Elevation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A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22" customWidth="1" min="4" max="4"/>
    <col width="24" customWidth="1" min="5" max="5"/>
    <col width="16" customWidth="1" min="6" max="6"/>
    <col width="30" customWidth="1" min="7" max="7"/>
    <col width="22" customWidth="1" min="8" max="8"/>
    <col width="20" customWidth="1" min="9" max="9"/>
    <col width="22" customWidth="1" min="10" max="10"/>
  </cols>
  <sheetData>
    <row r="1">
      <c r="A1" s="1" t="inlineStr">
        <is>
          <t>Grid Point ID</t>
        </is>
      </c>
      <c r="B1" s="1" t="inlineStr">
        <is>
          <t>Elevation (m)</t>
        </is>
      </c>
      <c r="C1" s="1" t="inlineStr">
        <is>
          <t>Vessel Section</t>
        </is>
      </c>
      <c r="D1" s="1" t="inlineStr">
        <is>
          <t>Nominal Thickness (mm)</t>
        </is>
      </c>
      <c r="E1" s="1" t="inlineStr">
        <is>
          <t>Measured Thickness (mm)</t>
        </is>
      </c>
      <c r="F1" s="1" t="inlineStr">
        <is>
          <t>t_min (mm)</t>
        </is>
      </c>
      <c r="G1" s="1" t="inlineStr">
        <is>
          <t>Corrosion Allowance Margin (mm)</t>
        </is>
      </c>
      <c r="H1" s="1" t="inlineStr">
        <is>
          <t>Corrosion Rate (mm/yr)</t>
        </is>
      </c>
      <c r="I1" s="1" t="inlineStr">
        <is>
          <t>Remaining Life (yr)</t>
        </is>
      </c>
      <c r="J1" s="1" t="inlineStr">
        <is>
          <t>Compliance Result</t>
        </is>
      </c>
    </row>
    <row r="2">
      <c r="A2" s="2" t="inlineStr">
        <is>
          <t>G-01</t>
        </is>
      </c>
      <c r="B2" s="2" t="n">
        <v>2.4</v>
      </c>
      <c r="C2" s="2" t="inlineStr">
        <is>
          <t>Bottom Boot</t>
        </is>
      </c>
      <c r="D2" s="2" t="n">
        <v>14</v>
      </c>
      <c r="E2" s="2" t="n">
        <v>13.2</v>
      </c>
      <c r="F2" s="2" t="n">
        <v>9.5</v>
      </c>
      <c r="G2" s="2">
        <f>E2-F2</f>
        <v/>
      </c>
      <c r="H2" s="2" t="n">
        <v>0.05</v>
      </c>
      <c r="I2" s="2">
        <f>G2/H2</f>
        <v/>
      </c>
      <c r="J2" s="2" t="inlineStr">
        <is>
          <t>PASSED</t>
        </is>
      </c>
    </row>
    <row r="3">
      <c r="A3" t="inlineStr">
        <is>
          <t>G-02</t>
        </is>
      </c>
      <c r="B3" t="n">
        <v>5.8</v>
      </c>
      <c r="C3" t="inlineStr">
        <is>
          <t>Flash Zone</t>
        </is>
      </c>
      <c r="D3" t="n">
        <v>14</v>
      </c>
      <c r="E3" t="n">
        <v>12.8</v>
      </c>
      <c r="F3" t="n">
        <v>9.5</v>
      </c>
      <c r="G3">
        <f>E3-F3</f>
        <v/>
      </c>
      <c r="H3" t="n">
        <v>0.07000000000000001</v>
      </c>
      <c r="I3">
        <f>G3/H3</f>
        <v/>
      </c>
      <c r="J3" t="inlineStr">
        <is>
          <t>PASSED</t>
        </is>
      </c>
    </row>
    <row r="4">
      <c r="A4" s="2" t="inlineStr">
        <is>
          <t>G-03</t>
        </is>
      </c>
      <c r="B4" s="2" t="n">
        <v>8.199999999999999</v>
      </c>
      <c r="C4" s="2" t="inlineStr">
        <is>
          <t>Diesel Draw</t>
        </is>
      </c>
      <c r="D4" s="2" t="n">
        <v>14</v>
      </c>
      <c r="E4" s="2" t="n">
        <v>12.4</v>
      </c>
      <c r="F4" s="2" t="n">
        <v>9.5</v>
      </c>
      <c r="G4" s="2">
        <f>E4-F4</f>
        <v/>
      </c>
      <c r="H4" s="2" t="n">
        <v>0.09</v>
      </c>
      <c r="I4" s="2">
        <f>G4/H4</f>
        <v/>
      </c>
      <c r="J4" s="2" t="inlineStr">
        <is>
          <t>PASSED</t>
        </is>
      </c>
    </row>
    <row r="5">
      <c r="A5" t="inlineStr">
        <is>
          <t>G-04</t>
        </is>
      </c>
      <c r="B5" t="n">
        <v>11.5</v>
      </c>
      <c r="C5" t="inlineStr">
        <is>
          <t>Feed Nozzle Junction</t>
        </is>
      </c>
      <c r="D5" t="n">
        <v>14</v>
      </c>
      <c r="E5" t="n">
        <v>11.2</v>
      </c>
      <c r="F5" t="n">
        <v>9.5</v>
      </c>
      <c r="G5">
        <f>E5-F5</f>
        <v/>
      </c>
      <c r="H5" t="n">
        <v>0.12</v>
      </c>
      <c r="I5">
        <f>G5/H5</f>
        <v/>
      </c>
      <c r="J5" t="inlineStr">
        <is>
          <t>PASSED</t>
        </is>
      </c>
    </row>
    <row r="6">
      <c r="A6" s="2" t="inlineStr">
        <is>
          <t>G-05</t>
        </is>
      </c>
      <c r="B6" s="2" t="n">
        <v>14.8</v>
      </c>
      <c r="C6" s="2" t="inlineStr">
        <is>
          <t>Kerosene Draw</t>
        </is>
      </c>
      <c r="D6" s="2" t="n">
        <v>14</v>
      </c>
      <c r="E6" s="2" t="n">
        <v>12</v>
      </c>
      <c r="F6" s="2" t="n">
        <v>9.5</v>
      </c>
      <c r="G6" s="2">
        <f>E6-F6</f>
        <v/>
      </c>
      <c r="H6" s="2" t="n">
        <v>0.1</v>
      </c>
      <c r="I6" s="2">
        <f>G6/H6</f>
        <v/>
      </c>
      <c r="J6" s="2" t="inlineStr">
        <is>
          <t>PASSED</t>
        </is>
      </c>
    </row>
    <row r="7">
      <c r="A7" t="inlineStr">
        <is>
          <t>G-06</t>
        </is>
      </c>
      <c r="B7" t="n">
        <v>18.2</v>
      </c>
      <c r="C7" t="inlineStr">
        <is>
          <t>Heavy Naphtha</t>
        </is>
      </c>
      <c r="D7" t="n">
        <v>14</v>
      </c>
      <c r="E7" t="n">
        <v>12.5</v>
      </c>
      <c r="F7" t="n">
        <v>9.5</v>
      </c>
      <c r="G7">
        <f>E7-F7</f>
        <v/>
      </c>
      <c r="H7" t="n">
        <v>0.08</v>
      </c>
      <c r="I7">
        <f>G7/H7</f>
        <v/>
      </c>
      <c r="J7" t="inlineStr">
        <is>
          <t>PASSED</t>
        </is>
      </c>
    </row>
    <row r="8">
      <c r="A8" s="2" t="inlineStr">
        <is>
          <t>G-07</t>
        </is>
      </c>
      <c r="B8" s="2" t="n">
        <v>22</v>
      </c>
      <c r="C8" s="2" t="inlineStr">
        <is>
          <t>Light Naphtha</t>
        </is>
      </c>
      <c r="D8" s="2" t="n">
        <v>14</v>
      </c>
      <c r="E8" s="2" t="n">
        <v>12.9</v>
      </c>
      <c r="F8" s="2" t="n">
        <v>9.5</v>
      </c>
      <c r="G8" s="2">
        <f>E8-F8</f>
        <v/>
      </c>
      <c r="H8" s="2" t="n">
        <v>0.06</v>
      </c>
      <c r="I8" s="2">
        <f>G8/H8</f>
        <v/>
      </c>
      <c r="J8" s="2" t="inlineStr">
        <is>
          <t>PASSED</t>
        </is>
      </c>
    </row>
    <row r="9">
      <c r="A9" t="inlineStr">
        <is>
          <t>G-08</t>
        </is>
      </c>
      <c r="B9" t="n">
        <v>25.6</v>
      </c>
      <c r="C9" t="inlineStr">
        <is>
          <t>Top Dome</t>
        </is>
      </c>
      <c r="D9" t="n">
        <v>14</v>
      </c>
      <c r="E9" t="n">
        <v>13.1</v>
      </c>
      <c r="F9" t="n">
        <v>9.5</v>
      </c>
      <c r="G9">
        <f>E9-F9</f>
        <v/>
      </c>
      <c r="H9" t="n">
        <v>0.05</v>
      </c>
      <c r="I9">
        <f>G9/H9</f>
        <v/>
      </c>
      <c r="J9" t="inlineStr">
        <is>
          <t>PASSED</t>
        </is>
      </c>
    </row>
  </sheetData>
  <conditionalFormatting sqref="J2:J9">
    <cfRule type="cellIs" priority="1" operator="equal" dxfId="0">
      <formula>"PASSED"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2026-09-26T10:45:41Z</dcterms:created>
  <dcterms:modified xmlns:dcterms="http://purl.org/dc/terms/" xmlns:xsi="http://www.w3.org/2001/XMLSchema-instance" xsi:type="dcterms:W3CDTF">2026-09-26T10:45:41Z</dcterms:modified>
</cp:coreProperties>
</file>